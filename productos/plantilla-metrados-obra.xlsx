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ncreto" sheetId="1" state="visible" r:id="rId1"/>
    <sheet name="2. Acero" sheetId="2" state="visible" r:id="rId2"/>
    <sheet name="3. Encofrado" sheetId="3" state="visible" r:id="rId3"/>
    <sheet name="4. Cuadro 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m3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BBF7D0"/>
        <bgColor rgb="00BBF7D0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A1" sqref="A1"/>
    </sheetView>
  </sheetViews>
  <sheetFormatPr baseColWidth="8" defaultRowHeight="15"/>
  <cols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2">
      <c r="B2" s="1" t="inlineStr">
        <is>
          <t>METRADO DE CONCRETO (OE.02.03 CONCRETO ARMADO)</t>
        </is>
      </c>
    </row>
    <row r="4">
      <c r="B4" s="2" t="inlineStr">
        <is>
          <t>Ítem</t>
        </is>
      </c>
      <c r="C4" s="2" t="inlineStr">
        <is>
          <t>Descripción</t>
        </is>
      </c>
      <c r="D4" s="2" t="inlineStr">
        <is>
          <t>N° Veces</t>
        </is>
      </c>
      <c r="E4" s="2" t="inlineStr">
        <is>
          <t>Largo (m)</t>
        </is>
      </c>
      <c r="F4" s="2" t="inlineStr">
        <is>
          <t>Ancho (m)</t>
        </is>
      </c>
      <c r="G4" s="2" t="inlineStr">
        <is>
          <t>Alto (m)</t>
        </is>
      </c>
      <c r="H4" s="2" t="inlineStr">
        <is>
          <t>Parcial (m3)</t>
        </is>
      </c>
      <c r="I4" s="2" t="inlineStr">
        <is>
          <t>Total (m3)</t>
        </is>
      </c>
    </row>
    <row r="5">
      <c r="B5" s="3" t="inlineStr">
        <is>
          <t>01.01</t>
        </is>
      </c>
      <c r="C5" s="4" t="inlineStr">
        <is>
          <t>Zapatas Z-1</t>
        </is>
      </c>
      <c r="D5" s="5" t="n">
        <v>4</v>
      </c>
      <c r="E5" s="5" t="n">
        <v>1.5</v>
      </c>
      <c r="F5" s="5" t="n">
        <v>1.5</v>
      </c>
      <c r="G5" s="5" t="n">
        <v>0.6</v>
      </c>
      <c r="H5" s="6">
        <f>D5*E5*F5*G5</f>
        <v/>
      </c>
      <c r="I5" s="7">
        <f>H5</f>
        <v/>
      </c>
    </row>
    <row r="6">
      <c r="B6" s="3" t="inlineStr">
        <is>
          <t>01.02</t>
        </is>
      </c>
      <c r="C6" s="4" t="inlineStr">
        <is>
          <t>Columnas C-1</t>
        </is>
      </c>
      <c r="D6" s="5" t="n">
        <v>8</v>
      </c>
      <c r="E6" s="5" t="n">
        <v>0.3</v>
      </c>
      <c r="F6" s="5" t="n">
        <v>0.3</v>
      </c>
      <c r="G6" s="5" t="n">
        <v>3.2</v>
      </c>
      <c r="H6" s="6">
        <f>D6*E6*F6*G6</f>
        <v/>
      </c>
      <c r="I6" s="7">
        <f>I5+H6</f>
        <v/>
      </c>
    </row>
    <row r="7">
      <c r="B7" s="3" t="inlineStr">
        <is>
          <t>01.03</t>
        </is>
      </c>
      <c r="C7" s="4" t="inlineStr">
        <is>
          <t>Vigas VP-1</t>
        </is>
      </c>
      <c r="D7" s="5" t="n">
        <v>4</v>
      </c>
      <c r="E7" s="5" t="n">
        <v>5</v>
      </c>
      <c r="F7" s="5" t="n">
        <v>0.25</v>
      </c>
      <c r="G7" s="5" t="n">
        <v>0.5</v>
      </c>
      <c r="H7" s="6">
        <f>D7*E7*F7*G7</f>
        <v/>
      </c>
      <c r="I7" s="7">
        <f>I6+H7</f>
        <v/>
      </c>
    </row>
    <row r="8">
      <c r="B8" s="3" t="inlineStr">
        <is>
          <t>01.04</t>
        </is>
      </c>
      <c r="C8" s="4" t="inlineStr">
        <is>
          <t>Losa Aligerada h=0.2m</t>
        </is>
      </c>
      <c r="D8" s="5" t="n">
        <v>1</v>
      </c>
      <c r="E8" s="5" t="n">
        <v>10</v>
      </c>
      <c r="F8" s="5" t="n">
        <v>8</v>
      </c>
      <c r="G8" s="5" t="n">
        <v>0.2</v>
      </c>
      <c r="H8" s="6">
        <f>D8*E8*F8*G8</f>
        <v/>
      </c>
      <c r="I8" s="7">
        <f>I7+H8</f>
        <v/>
      </c>
    </row>
    <row r="10">
      <c r="H10" s="8" t="inlineStr">
        <is>
          <t>TOTAL VOLUMEN =</t>
        </is>
      </c>
      <c r="I10" s="9">
        <f>SUM(H5:H8)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METRADO DE ACERO ESTRUCTURAL (Kg)</t>
        </is>
      </c>
    </row>
    <row r="4">
      <c r="B4" s="10" t="inlineStr">
        <is>
          <t>Elemento</t>
        </is>
      </c>
      <c r="C4" s="10" t="inlineStr">
        <is>
          <t>Ø (pulg)</t>
        </is>
      </c>
      <c r="D4" s="10" t="inlineStr">
        <is>
          <t>Factor (Kg/m)</t>
        </is>
      </c>
      <c r="E4" s="10" t="inlineStr">
        <is>
          <t>L unit (m)</t>
        </is>
      </c>
      <c r="F4" s="10" t="inlineStr">
        <is>
          <t>N° Piezas</t>
        </is>
      </c>
      <c r="G4" s="10" t="inlineStr">
        <is>
          <t>Long Total (m)</t>
        </is>
      </c>
      <c r="H4" s="10" t="inlineStr">
        <is>
          <t>Peso (Kg)</t>
        </is>
      </c>
    </row>
    <row r="5">
      <c r="B5" s="4" t="inlineStr">
        <is>
          <t>Columna C1 - Lng</t>
        </is>
      </c>
      <c r="C5" s="5" t="inlineStr">
        <is>
          <t>5/8</t>
        </is>
      </c>
      <c r="D5" s="3" t="n">
        <v>1.552</v>
      </c>
      <c r="E5" s="5" t="n">
        <v>4.1</v>
      </c>
      <c r="F5" s="5" t="n">
        <v>6</v>
      </c>
      <c r="G5" s="6">
        <f>E5*F5</f>
        <v/>
      </c>
      <c r="H5" s="11">
        <f>D5*G5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METRADO DE ENCOFRADO (m2)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7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0" customWidth="1" min="4" max="4"/>
  </cols>
  <sheetData>
    <row r="2">
      <c r="B2" s="1" t="inlineStr">
        <is>
          <t>RESUMEN DE METRADOS (PRESUPUESTO BASE)</t>
        </is>
      </c>
    </row>
    <row r="4">
      <c r="B4" s="12" t="inlineStr">
        <is>
          <t>Partida</t>
        </is>
      </c>
      <c r="C4" s="12" t="inlineStr">
        <is>
          <t>Unidad</t>
        </is>
      </c>
      <c r="D4" s="12" t="inlineStr">
        <is>
          <t>Total</t>
        </is>
      </c>
    </row>
    <row r="5">
      <c r="B5" s="4" t="inlineStr">
        <is>
          <t>Concreto Armado</t>
        </is>
      </c>
      <c r="C5" s="3" t="inlineStr">
        <is>
          <t>m3</t>
        </is>
      </c>
      <c r="D5" s="11">
        <f>'1. Concreto'!I10</f>
        <v/>
      </c>
    </row>
    <row r="6">
      <c r="B6" s="4" t="inlineStr">
        <is>
          <t>Encofrado Columnas</t>
        </is>
      </c>
      <c r="C6" s="3" t="inlineStr">
        <is>
          <t>m2</t>
        </is>
      </c>
      <c r="D6" s="11" t="n">
        <v>120.5</v>
      </c>
    </row>
    <row r="7">
      <c r="B7" s="4" t="inlineStr">
        <is>
          <t>Acero Estructural</t>
        </is>
      </c>
      <c r="C7" s="3" t="inlineStr">
        <is>
          <t>Kg</t>
        </is>
      </c>
      <c r="D7" s="11">
        <f>'2. Acero'!H5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2026-02-24T22:32:51Z</dcterms:created>
  <dcterms:modified xsi:type="dcterms:W3CDTF">2026-02-24T22:32:51Z</dcterms:modified>
</cp:coreProperties>
</file>